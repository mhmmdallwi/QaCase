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WeMine_Katalon_Technical_Test\"/>
    </mc:Choice>
  </mc:AlternateContent>
  <xr:revisionPtr revIDLastSave="0" documentId="13_ncr:1_{C3534C2F-82B6-4BA1-9755-D0646E775C5F}" xr6:coauthVersionLast="47" xr6:coauthVersionMax="47" xr10:uidLastSave="{00000000-0000-0000-0000-000000000000}"/>
  <bookViews>
    <workbookView xWindow="-98" yWindow="-98" windowWidth="21795" windowHeight="12975" tabRatio="686" xr2:uid="{00000000-000D-0000-FFFF-FFFF00000000}"/>
  </bookViews>
  <sheets>
    <sheet name="Test Information" sheetId="5" r:id="rId1"/>
    <sheet name="Flow 0 - Mobile" sheetId="1" r:id="rId2"/>
    <sheet name="Flow 0 - Web" sheetId="6" r:id="rId3"/>
    <sheet name="Flow 1 - Mobile" sheetId="8" r:id="rId4"/>
    <sheet name="Flow 1 - Web" sheetId="7" r:id="rId5"/>
    <sheet name="Flow 2 - Hazard" sheetId="9" r:id="rId6"/>
    <sheet name="Offline Test" sheetId="10" r:id="rId7"/>
  </sheets>
  <definedNames>
    <definedName name="_xlnm.Print_Titles" localSheetId="1">'Flow 0 - Mobile'!#REF!</definedName>
    <definedName name="_xlnm.Print_Titles" localSheetId="2">'Flow 0 - Web'!#REF!</definedName>
    <definedName name="_xlnm.Print_Titles" localSheetId="3">'Flow 1 - Mobile'!#REF!</definedName>
    <definedName name="_xlnm.Print_Titles" localSheetId="4">'Flow 1 - Web'!#REF!</definedName>
    <definedName name="_xlnm.Print_Titles" localSheetId="5">'Flow 2 - Hazard'!#REF!</definedName>
    <definedName name="_xlnm.Print_Titles" localSheetId="6">'Offline Test'!#REF!</definedName>
    <definedName name="_xlnm.Print_Titles" localSheetId="0">'Test Information'!#REF!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0" l="1"/>
  <c r="B3" i="10"/>
  <c r="B2" i="10"/>
  <c r="B4" i="9"/>
  <c r="B3" i="9"/>
  <c r="B2" i="9"/>
  <c r="B4" i="8"/>
  <c r="B3" i="8"/>
  <c r="B2" i="8"/>
  <c r="B4" i="7"/>
  <c r="B3" i="7"/>
  <c r="B2" i="7"/>
  <c r="B4" i="6"/>
  <c r="B3" i="6"/>
  <c r="B2" i="6"/>
  <c r="B3" i="1"/>
  <c r="B4" i="1"/>
  <c r="B2" i="1"/>
  <c r="B11" i="5" l="1"/>
  <c r="B10" i="5"/>
  <c r="B9" i="5"/>
  <c r="B5" i="10"/>
  <c r="C2" i="10" s="1"/>
  <c r="B5" i="9"/>
  <c r="C2" i="9" s="1"/>
  <c r="B5" i="8"/>
  <c r="C2" i="8" s="1"/>
  <c r="B5" i="7"/>
  <c r="C2" i="7" s="1"/>
  <c r="B5" i="6"/>
  <c r="B5" i="1"/>
  <c r="C2" i="6" l="1"/>
  <c r="B12" i="5"/>
  <c r="C3" i="10"/>
  <c r="C4" i="10"/>
  <c r="C3" i="9"/>
  <c r="C4" i="9"/>
  <c r="C3" i="8"/>
  <c r="C4" i="8"/>
  <c r="C4" i="7"/>
  <c r="C3" i="7"/>
  <c r="C3" i="6"/>
  <c r="C4" i="6"/>
  <c r="C2" i="1"/>
  <c r="C4" i="1"/>
  <c r="C3" i="1"/>
  <c r="C5" i="6" l="1"/>
  <c r="C5" i="10"/>
  <c r="C5" i="9"/>
  <c r="C5" i="8"/>
  <c r="C5" i="7"/>
  <c r="C11" i="5"/>
  <c r="C9" i="5"/>
  <c r="C10" i="5"/>
  <c r="C5" i="1"/>
  <c r="C12" i="5" l="1"/>
</calcChain>
</file>

<file path=xl/sharedStrings.xml><?xml version="1.0" encoding="utf-8"?>
<sst xmlns="http://schemas.openxmlformats.org/spreadsheetml/2006/main" count="442" uniqueCount="244">
  <si>
    <t>Description</t>
  </si>
  <si>
    <t>Preconditions</t>
  </si>
  <si>
    <t>Expected Result</t>
  </si>
  <si>
    <t>TC-F0-001</t>
  </si>
  <si>
    <t>TC-F0-002</t>
  </si>
  <si>
    <t>TC-F0-003</t>
  </si>
  <si>
    <t>TC-F0-004</t>
  </si>
  <si>
    <t>TC-F0-005</t>
  </si>
  <si>
    <t>TC-F0-006</t>
  </si>
  <si>
    <t>TC-F0-007</t>
  </si>
  <si>
    <t>TC-F0-008</t>
  </si>
  <si>
    <t>TC-F0-009</t>
  </si>
  <si>
    <t>TC-F0-010</t>
  </si>
  <si>
    <t>Case ID</t>
  </si>
  <si>
    <t>Reproduce</t>
  </si>
  <si>
    <t>Result</t>
  </si>
  <si>
    <t>Untested</t>
  </si>
  <si>
    <t>Evidance</t>
  </si>
  <si>
    <t>Summary</t>
  </si>
  <si>
    <t>TestCase has not been tested</t>
  </si>
  <si>
    <t>OK</t>
  </si>
  <si>
    <t>Resullt = Expected Result</t>
  </si>
  <si>
    <t>Not Tested</t>
  </si>
  <si>
    <t>Case not valid / cannot be tested</t>
  </si>
  <si>
    <t>Total</t>
  </si>
  <si>
    <t>Total testcase</t>
  </si>
  <si>
    <t>TC-F1-001</t>
  </si>
  <si>
    <t>TC-F1-002</t>
  </si>
  <si>
    <t>TC-F1-003</t>
  </si>
  <si>
    <t>TC-F1-004</t>
  </si>
  <si>
    <t>TC-F1-005</t>
  </si>
  <si>
    <t>Add Image Picker field</t>
  </si>
  <si>
    <t>TC-F2-001</t>
  </si>
  <si>
    <t>TC-F2-006</t>
  </si>
  <si>
    <t>TC-F2-009</t>
  </si>
  <si>
    <t>TC-F2-010</t>
  </si>
  <si>
    <t>TC-F2-002</t>
  </si>
  <si>
    <t>TC-F2-003</t>
  </si>
  <si>
    <t>TC-F2-004</t>
  </si>
  <si>
    <t>TC-F2-005</t>
  </si>
  <si>
    <t>TC-F2-008</t>
  </si>
  <si>
    <t>TC-F2-011</t>
  </si>
  <si>
    <t>TC-F2-012</t>
  </si>
  <si>
    <t>Form Test Case</t>
  </si>
  <si>
    <t>Author</t>
  </si>
  <si>
    <t>Muhammad Alwi</t>
  </si>
  <si>
    <t>Objectives</t>
  </si>
  <si>
    <t>Test Period</t>
  </si>
  <si>
    <t>Testing Scope</t>
  </si>
  <si>
    <t>- Functional Test
- Regression Test</t>
  </si>
  <si>
    <t>Developer</t>
  </si>
  <si>
    <t>Environment Setting</t>
  </si>
  <si>
    <t>Server</t>
  </si>
  <si>
    <t>Development</t>
  </si>
  <si>
    <t>Credential External</t>
  </si>
  <si>
    <t>Username</t>
  </si>
  <si>
    <t>Password</t>
  </si>
  <si>
    <t>Document Control</t>
  </si>
  <si>
    <t>Version</t>
  </si>
  <si>
    <t>Date</t>
  </si>
  <si>
    <t>Changes</t>
  </si>
  <si>
    <t>v.1.0</t>
  </si>
  <si>
    <t>Initiate create test case</t>
  </si>
  <si>
    <t>QA</t>
  </si>
  <si>
    <t>FTSD</t>
  </si>
  <si>
    <t>Successful sign-in</t>
  </si>
  <si>
    <t>Active test tenant; valid username; dedicated Microsoft test account; clean or known sync state</t>
  </si>
  <si>
    <t>Microsoft login handoff</t>
  </si>
  <si>
    <t>Valid username mapped to a tenant</t>
  </si>
  <si>
    <t>Unknown username</t>
  </si>
  <si>
    <t>Test username confirmed absent from tenant</t>
  </si>
  <si>
    <t>Profile and master-data sync</t>
  </si>
  <si>
    <t>Valid account; observable browser/device network or logs</t>
  </si>
  <si>
    <t>First master-data update restart prompt</t>
  </si>
  <si>
    <t>Clean first-sync state or test account with master data version update</t>
  </si>
  <si>
    <t>Network failure during username lookup</t>
  </si>
  <si>
    <t>Network throttling/interruption available; app/site signed out</t>
  </si>
  <si>
    <t>Network failure during master sync</t>
  </si>
  <si>
    <t>Valid account; controllable network; clean/known sync state</t>
  </si>
  <si>
    <t>Empty username validation</t>
  </si>
  <si>
    <t>Sign-in screen loaded</t>
  </si>
  <si>
    <t>Whitespace-only username</t>
  </si>
  <si>
    <t>Special-character username handling</t>
  </si>
  <si>
    <t>Test Data</t>
  </si>
  <si>
    <t>Tenant is resolved; Microsoft authentication succeeds; /user/me and /tenant/master plus configured master data load; progress completes; authenticated home is shown.</t>
  </si>
  <si>
    <t>Tenant is resolved and the user is handed off to Microsoft sign-in for the resolved tenant; app does not authenticate before completion.</t>
  </si>
  <si>
    <t>User is not authenticated; a clear rejection/error is shown; no tenant session is created.</t>
  </si>
  <si>
    <t>Profile and tenant master data load; configured master endpoints are requested; progress only completes after required sync completes.</t>
  </si>
  <si>
    <t>Restart prompt appears after first master-data update as specified; prompt is not shown incorrectly on every ordinary login.</t>
  </si>
  <si>
    <t>No false authentication; recoverable error or retry path is shown; retry works after connectivity returns.</t>
  </si>
  <si>
    <t>Incomplete sync is not reported as successful; app/page remains recoverable and does not corrupt master data.</t>
  </si>
  <si>
    <t>Required-field validation appears and no successful authentication occurs.</t>
  </si>
  <si>
    <t>Whitespace-only input is rejected or normalized to empty; no authentication occurs.</t>
  </si>
  <si>
    <t>Input is handled safely; no crash, script injection, or false authentication; validation/rejection is shown.</t>
  </si>
  <si>
    <t>Valid tenant username</t>
  </si>
  <si>
    <t>Empty</t>
  </si>
  <si>
    <t>Spaces only</t>
  </si>
  <si>
    <t>Invalid-format special characters</t>
  </si>
  <si>
    <t>1. Open app/site. 2. Enter valid username. 3. Continue and complete Microsoft authentication. 4. Wait for profile/master sync.</t>
  </si>
  <si>
    <t>1. Open sign-in. 2. Enter username. 3. Continue.</t>
  </si>
  <si>
    <t>1. Enter unknown username. 2. Continue.</t>
  </si>
  <si>
    <t>1. Sign in. 2. Observe profile/master-data loading and completion.</t>
  </si>
  <si>
    <t>1. Clear app/site test state as approved. 2. Sign in and wait for first master-data update.</t>
  </si>
  <si>
    <t>1. Start sign-in. 2. Interrupt network before tenant lookup completes. 3. Observe UI. 4. Restore network and retry.</t>
  </si>
  <si>
    <t>1. Complete authentication. 2. Interrupt network during master sync. 3. Observe progress and state. 4. Restore network/retry.</t>
  </si>
  <si>
    <t>1. Leave username empty. 2. Continue.</t>
  </si>
  <si>
    <t>1. Enter spaces only. 2. Continue.</t>
  </si>
  <si>
    <t>1. Enter a username containing unsupported/special characters. 2. Continue.</t>
  </si>
  <si>
    <t>TC-F0-WEB-001</t>
  </si>
  <si>
    <t>TC-F0-WEB-002</t>
  </si>
  <si>
    <t>TC-F0-WEB-003</t>
  </si>
  <si>
    <t>TC-F0-WEB-004</t>
  </si>
  <si>
    <t>TC-F0-WEB-005</t>
  </si>
  <si>
    <t>TC-F0-WEB-006</t>
  </si>
  <si>
    <t>TC-F0-WEB-007</t>
  </si>
  <si>
    <t>TC-F0-WEB-008</t>
  </si>
  <si>
    <t>TC-F1-WEB-001</t>
  </si>
  <si>
    <t>TC-F1-WEB-002</t>
  </si>
  <si>
    <t>TC-F1-WEB-003</t>
  </si>
  <si>
    <t>TC-F1-WEB-004</t>
  </si>
  <si>
    <t>TC-F1-WEB-005</t>
  </si>
  <si>
    <t>TC-F1-WEB-006</t>
  </si>
  <si>
    <t>Add Input Text field</t>
  </si>
  <si>
    <t>Add Date Picker field</t>
  </si>
  <si>
    <t>Add Select field</t>
  </si>
  <si>
    <t>Add Radio field</t>
  </si>
  <si>
    <t>Maximum 50 configured fields</t>
  </si>
  <si>
    <t>Maximum four Radio options</t>
  </si>
  <si>
    <t>Editor account; test form; avoid modifying shared production forms</t>
  </si>
  <si>
    <t>Disposable test form and unique labels</t>
  </si>
  <si>
    <t>1. Sign in to WeMineOffice as a form editor. 2. Open Form Builder and create/open a test form. 3. Add Input Text. 4. Save using the supported product action.</t>
  </si>
  <si>
    <t>1. Open test form in Form Builder. 2. Add Date Picker. 3. Save and reopen.</t>
  </si>
  <si>
    <t>1. Open test form. 2. Add Select field and configure options. 3. Save and reopen.</t>
  </si>
  <si>
    <t>1. Open test form. 2. Add Radio field. 3. Configure up to four options. 4. Save and reopen.</t>
  </si>
  <si>
    <t>1. Open test form. 2. Add Image Picker. 3. Save and reopen.</t>
  </si>
  <si>
    <t>1. Create/open test form. 2. Add fields until there are 50. 3. Attempt to add field 51.</t>
  </si>
  <si>
    <t>1. Add Radio field. 2. Add four options. 3. Attempt to add a fifth.</t>
  </si>
  <si>
    <t>TC-F1-WEB-007</t>
  </si>
  <si>
    <t>Previous inspections list</t>
  </si>
  <si>
    <t>Load form by Form Code</t>
  </si>
  <si>
    <t>Render dynamic field types</t>
  </si>
  <si>
    <t>Submit inspection</t>
  </si>
  <si>
    <t>Unknown Form Code</t>
  </si>
  <si>
    <t>Signed-in mobile user; account has at least one prior inspection</t>
  </si>
  <si>
    <t>Known prior inspection</t>
  </si>
  <si>
    <t>1. Open Equipment Inspection. 2. Review previous submissions and new-inspection entry point.</t>
  </si>
  <si>
    <t>A form is configured in WeMineOffice and is in the product-defined state available to mobile; form code exists for tenant</t>
  </si>
  <si>
    <t>WEMINE_EQUIPMENT_FORM_CODE</t>
  </si>
  <si>
    <t>1. Open Equipment Inspection. 2. Start new inspection. 3. Enter Form Code. 4. Load form.</t>
  </si>
  <si>
    <t>Available form configured in web with Input Text, Date Picker, Select, Radio (max 4 options), Image Picker</t>
  </si>
  <si>
    <t>Form code with all supported field types</t>
  </si>
  <si>
    <t>1. Load the configured form on mobile. 2. Inspect each field and its control.</t>
  </si>
  <si>
    <t>Available form with valid test values and test image; signed-in user</t>
  </si>
  <si>
    <t>Valid text/date/select/radio values and image</t>
  </si>
  <si>
    <t>1. Load form by code. 2. Enter values. 3. Attach image. 4. Submit. 5. Reopen history.</t>
  </si>
  <si>
    <t>Signed-in mobile user</t>
  </si>
  <si>
    <t>Nonexistent unique form code</t>
  </si>
  <si>
    <t>1. Start new inspection. 2. Enter invalid Form Code. 3. Load.</t>
  </si>
  <si>
    <t>TC-OFF-MOB-001</t>
  </si>
  <si>
    <t>Valid hazard submission</t>
  </si>
  <si>
    <t>Mandatory fields validation</t>
  </si>
  <si>
    <t>PIC defaults to reporter</t>
  </si>
  <si>
    <t>Location field selections</t>
  </si>
  <si>
    <t>Area Description is optional</t>
  </si>
  <si>
    <t>Evidence attachment preview</t>
  </si>
  <si>
    <t>Offline hazard queue and sync</t>
  </si>
  <si>
    <t>Notify people in area</t>
  </si>
  <si>
    <t>Notify assigned PIC</t>
  </si>
  <si>
    <t>Submit follow-up resolution</t>
  </si>
  <si>
    <t>Add multiple Co Observers</t>
  </si>
  <si>
    <t>Resolution Date/Time is mandatory</t>
  </si>
  <si>
    <t>Notify direct supervisor</t>
  </si>
  <si>
    <t>Signed-in reporter; valid master data; test image; eligible PIC</t>
  </si>
  <si>
    <t>Signed-in reporter; form can be submitted for validation testing</t>
  </si>
  <si>
    <t>Signed-in reporter</t>
  </si>
  <si>
    <t>Master data includes at least two valid locations and associated sublocations/areas</t>
  </si>
  <si>
    <t>Valid master data and test image</t>
  </si>
  <si>
    <t>Mobile gallery has a non-sensitive test image</t>
  </si>
  <si>
    <t>Hazard form/master data already available offline; controllable network; test device</t>
  </si>
  <si>
    <t>Test accounts/users assigned to target area; notification channel observable</t>
  </si>
  <si>
    <t>Test PIC account and notification channel observable</t>
  </si>
  <si>
    <t>Existing follow-up task assigned to test PIC; test evidence available</t>
  </si>
  <si>
    <t>Open follow-up task with eligible employees available</t>
  </si>
  <si>
    <t>Existing follow-up task assigned to test PIC</t>
  </si>
  <si>
    <t>Test direct supervisor account and notification channel observable; follow-up task resolvable</t>
  </si>
  <si>
    <t>Location A and Location B with configured children</t>
  </si>
  <si>
    <t>Valid location hierarchy, no Area Description</t>
  </si>
  <si>
    <t>JPEG/PNG test image</t>
  </si>
  <si>
    <t>One valid offline hazard report</t>
  </si>
  <si>
    <t>Hazard in area with known recipients</t>
  </si>
  <si>
    <t>Hazard that creates follow-up task</t>
  </si>
  <si>
    <t>Evidence, Resolution Date/Time, one Co Observer</t>
  </si>
  <si>
    <t>Two eligible observers</t>
  </si>
  <si>
    <t>Evidence and Co Observer present; Resolution Date/Time blank</t>
  </si>
  <si>
    <t>Valid follow-up resolution</t>
  </si>
  <si>
    <t>1. Open Hazard &gt; Report Hazard. 2. Select Location/Sublocation/Area. 3. Add optional description. 4. Attach evidence. 5. Confirm PIC. 6. Submit.</t>
  </si>
  <si>
    <t>1. For each required field, leave only that field empty while filling other required fields. 2. Submit.</t>
  </si>
  <si>
    <t>1. Open a new hazard report. 2. Inspect PIC before changing it.</t>
  </si>
  <si>
    <t>1. Open report. 2. Select Location A and inspect child choices. 3. Select a sublocation and area. 4. Change to Location B.</t>
  </si>
  <si>
    <t>1. Fill all required fields except Area Description. 2. Submit.</t>
  </si>
  <si>
    <t>1. Open Evidence. 2. Select image from gallery. 3. Inspect form before submission.</t>
  </si>
  <si>
    <t>1. Cache/sync required data while online. 2. Disconnect network. 3. Submit valid hazard. 4. Confirm queued/pending state. 5. Reconnect. 6. Verify server-side record and follow-up.</t>
  </si>
  <si>
    <t>1. Submit hazard for target area. 2. Inspect notification inbox/logs for assigned area users.</t>
  </si>
  <si>
    <t>1. Submit hazard with a known PIC. 2. Inspect PIC notification inbox/log.</t>
  </si>
  <si>
    <t>1. Open assigned follow-up. 2. Attach evidence. 3. Enter Resolution Date/Time. 4. Select Co Observer. 5. Submit resolution.</t>
  </si>
  <si>
    <t>1. Open resolution form. 2. Select first Co Observer. 3. Tap (+). 4. Select second observer. 5. Review before submit.</t>
  </si>
  <si>
    <t>1. Open resolution form. 2. Fill other required fields. 3. Leave Resolution Date/Time blank. 4. Submit.</t>
  </si>
  <si>
    <t>1. Resolve follow-up task. 2. Inspect direct supervisor notification inbox/log.</t>
  </si>
  <si>
    <t>Hazard record is created and a follow-up task is created/assigned according to the brief.</t>
  </si>
  <si>
    <t>Each missing mandatory field blocks submission with a clear validation cue; no hazard/follow-up is created. PIC is preselected by default.</t>
  </si>
  <si>
    <t>PIC defaults to the currently signed-in reporter.</t>
  </si>
  <si>
    <t>Selections are valid against available master data; dependent values do not remain invalid after parent changes. Exact cascading rules should be confirmed with product owner.</t>
  </si>
  <si>
    <t>Report succeeds when mandatory fields are valid even when Area Description is blank.</t>
  </si>
  <si>
    <t>Selected image is attached and visibly represented by a preview or attachment indicator; no unrelated image is attached.</t>
  </si>
  <si>
    <t>Offline submission is retained and synced when connectivity returns; no duplicate hazard/follow-up is created. Confirm queue behavior against actual build.</t>
  </si>
  <si>
    <t>People associated with the reported area receive hazard notification according to configured notification rules.</t>
  </si>
  <si>
    <t>Assigned PIC receives a notification for the follow-up task; notification references the correct task/hazard.</t>
  </si>
  <si>
    <t>Resolution is saved with evidence, date/time, and observer; task state changes to resolved/completed as defined by product.</t>
  </si>
  <si>
    <t>Additional observer selector appears; both selected observers remain present and are stored without accidental replacement/duplication.</t>
  </si>
  <si>
    <t>Submission is blocked and date/time validation is shown; task remains unresolved.</t>
  </si>
  <si>
    <t>Area’s direct supervisor receives notification for the resolved follow-up according to configured rules.</t>
  </si>
  <si>
    <t>Location, Sublocation, Area, Area Description optional, Evidence image, PIC</t>
  </si>
  <si>
    <t>Run separate attempts omitting Location, Sublocation, Area, Evidence</t>
  </si>
  <si>
    <t>Current reporter account</t>
  </si>
  <si>
    <t>Input Text field appears in the form definition with the configured label and is retained after reopening.</t>
  </si>
  <si>
    <t>Date Picker field is displayed and retained in the configured form.</t>
  </si>
  <si>
    <t>Select field and configured options are retained; no option is silently dropped.</t>
  </si>
  <si>
    <t>Radio field and configured options are retained and available to users.</t>
  </si>
  <si>
    <t>Image Picker field appears in the saved form definition.</t>
  </si>
  <si>
    <t>The form supports 50 fields; attempt to add field 51 is blocked or validation explains the limit. Existing 50 fields remain intact.</t>
  </si>
  <si>
    <t>Four options are accepted; a fifth is prevented or rejected without losing the existing options.</t>
  </si>
  <si>
    <t>Prior inspection(s) and the entry point to start a new inspection are visible.</t>
  </si>
  <si>
    <t>Mobile loads the form associated with the supplied code; labels/types match the configured form.</t>
  </si>
  <si>
    <t>All configured supported field types render correctly and retain their labels/options.</t>
  </si>
  <si>
    <t>Submission is accepted and appears in history/status with the submitted values and evidence.</t>
  </si>
  <si>
    <t>Clear error/rejection is shown; dynamic form and submit action are not available for the invalid code.</t>
  </si>
  <si>
    <t>Required-field validation is shown and tenant lookup is not initiated.</t>
  </si>
  <si>
    <t>TC-OFF-WEB-001</t>
  </si>
  <si>
    <t>Cached web experience during network loss</t>
  </si>
  <si>
    <t>Web app loaded online and cache/service-worker behavior supported by target build; controllable network</t>
  </si>
  <si>
    <t>Previously loaded page</t>
  </si>
  <si>
    <t>1. Open WeMineOffice online and load an authorized page. 2. Set browser offline. 3. Navigate/reload only within the documented cached scope. 4. Observe page behavior.</t>
  </si>
  <si>
    <t>Previously cached content behaves according to product offline design; no claim is made that web writes are queued unless that capability is specified.</t>
  </si>
  <si>
    <t>TC-F2-007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</si>
</sst>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4" x14ac:knownFonts="1">
    <font>
      <sz val="11"/>
      <color theme="1"/>
      <name val="Calibri"/>
      <family val="2"/>
      <scheme val="minor"/>
    </font>
    <font>
      <sz val="10"/>
      <color rgb="FF222222"/>
      <name val="Arial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9" fontId="0" fillId="0" borderId="1" xfId="0" applyNumberFormat="1" applyBorder="1" applyAlignment="1">
      <alignment vertical="top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top" wrapText="1"/>
    </xf>
    <xf numFmtId="0" fontId="0" fillId="0" borderId="2" xfId="0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164" fontId="8" fillId="0" borderId="1" xfId="0" quotePrefix="1" applyNumberFormat="1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2" fillId="0" borderId="0" xfId="0" applyFont="1" applyAlignment="1">
      <alignment vertical="top"/>
    </xf>
    <xf numFmtId="9" fontId="10" fillId="0" borderId="1" xfId="0" applyNumberFormat="1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0" fillId="0" borderId="1" xfId="0" quotePrefix="1" applyFont="1" applyBorder="1" applyAlignment="1">
      <alignment vertical="top" wrapText="1"/>
    </xf>
    <xf numFmtId="49" fontId="10" fillId="0" borderId="1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vertical="top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1" applyFont="1" applyBorder="1" applyAlignment="1"/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4" xfId="0" applyFont="1" applyBorder="1" applyAlignment="1">
      <alignment vertical="top" wrapText="1"/>
    </xf>
    <xf numFmtId="0" fontId="9" fillId="0" borderId="4" xfId="0" applyFont="1" applyBorder="1" applyAlignment="1">
      <alignment vertical="top"/>
    </xf>
    <xf numFmtId="164" fontId="8" fillId="0" borderId="4" xfId="0" quotePrefix="1" applyNumberFormat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3" fillId="0" borderId="2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quotePrefix="1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10" fillId="0" borderId="4" xfId="0" quotePrefix="1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F2513-AFF0-4778-9618-F0CA1D545262}">
  <sheetPr>
    <pageSetUpPr fitToPage="1"/>
  </sheetPr>
  <dimension ref="A1:E26"/>
  <sheetViews>
    <sheetView showGridLines="0" tabSelected="1" zoomScale="85" zoomScaleNormal="85" workbookViewId="0">
      <pane ySplit="1" topLeftCell="A2" activePane="bottomLeft" state="frozen"/>
      <selection pane="bottomLeft" activeCell="E35" sqref="E35"/>
    </sheetView>
  </sheetViews>
  <sheetFormatPr defaultRowHeight="14.25" x14ac:dyDescent="0.45"/>
  <cols>
    <col min="1" max="1" width="16" customWidth="1"/>
    <col min="2" max="2" width="42" customWidth="1"/>
    <col min="3" max="3" width="38" customWidth="1"/>
    <col min="4" max="4" width="26.1328125" customWidth="1"/>
    <col min="5" max="5" width="36.796875" customWidth="1"/>
  </cols>
  <sheetData>
    <row r="1" spans="1:5" ht="18" x14ac:dyDescent="0.45">
      <c r="A1" s="36" t="s">
        <v>43</v>
      </c>
      <c r="B1" s="36"/>
      <c r="C1" s="36"/>
      <c r="D1" s="36"/>
      <c r="E1" s="36"/>
    </row>
    <row r="2" spans="1:5" x14ac:dyDescent="0.45">
      <c r="A2" s="28" t="s">
        <v>46</v>
      </c>
      <c r="B2" s="48"/>
      <c r="C2" s="49"/>
      <c r="D2" s="29" t="s">
        <v>47</v>
      </c>
      <c r="E2" s="30"/>
    </row>
    <row r="3" spans="1:5" x14ac:dyDescent="0.45">
      <c r="A3" s="43" t="s">
        <v>48</v>
      </c>
      <c r="B3" s="44" t="s">
        <v>49</v>
      </c>
      <c r="C3" s="44"/>
      <c r="D3" s="14" t="s">
        <v>63</v>
      </c>
      <c r="E3" s="26" t="s">
        <v>45</v>
      </c>
    </row>
    <row r="4" spans="1:5" x14ac:dyDescent="0.45">
      <c r="A4" s="43"/>
      <c r="B4" s="44"/>
      <c r="C4" s="44"/>
      <c r="D4" s="14" t="s">
        <v>50</v>
      </c>
      <c r="E4" s="27"/>
    </row>
    <row r="5" spans="1:5" x14ac:dyDescent="0.45">
      <c r="A5" s="43"/>
      <c r="B5" s="44"/>
      <c r="C5" s="44"/>
      <c r="D5" s="14" t="s">
        <v>64</v>
      </c>
      <c r="E5" s="25"/>
    </row>
    <row r="6" spans="1:5" x14ac:dyDescent="0.45">
      <c r="A6" s="17"/>
      <c r="B6" s="17"/>
      <c r="C6" s="17"/>
      <c r="D6" s="18"/>
      <c r="E6" s="17"/>
    </row>
    <row r="7" spans="1:5" x14ac:dyDescent="0.45">
      <c r="A7" s="17"/>
      <c r="B7" s="17"/>
      <c r="C7" s="17"/>
      <c r="D7" s="17"/>
      <c r="E7" s="17"/>
    </row>
    <row r="8" spans="1:5" x14ac:dyDescent="0.45">
      <c r="A8" s="45" t="s">
        <v>18</v>
      </c>
      <c r="B8" s="46"/>
      <c r="C8" s="46"/>
      <c r="D8" s="47"/>
      <c r="E8" s="17"/>
    </row>
    <row r="9" spans="1:5" x14ac:dyDescent="0.45">
      <c r="A9" s="14" t="s">
        <v>16</v>
      </c>
      <c r="B9" s="15">
        <f>'Flow 0 - Mobile'!B2+'Flow 0 - Web'!B2+'Flow 1 - Mobile'!B2+'Flow 1 - Web'!B2+'Flow 2 - Hazard'!B2+'Offline Test'!B2</f>
        <v>44</v>
      </c>
      <c r="C9" s="19">
        <f>B9/B12</f>
        <v>1</v>
      </c>
      <c r="D9" s="20" t="s">
        <v>19</v>
      </c>
      <c r="E9" s="17"/>
    </row>
    <row r="10" spans="1:5" x14ac:dyDescent="0.45">
      <c r="A10" s="14" t="s">
        <v>20</v>
      </c>
      <c r="B10" s="15">
        <f>'Flow 0 - Mobile'!B3+'Flow 0 - Web'!B3+'Flow 1 - Mobile'!B3+'Flow 1 - Web'!B3+'Flow 2 - Hazard'!B3+'Offline Test'!B3</f>
        <v>0</v>
      </c>
      <c r="C10" s="19">
        <f>B10/B12</f>
        <v>0</v>
      </c>
      <c r="D10" s="20" t="s">
        <v>21</v>
      </c>
      <c r="E10" s="17"/>
    </row>
    <row r="11" spans="1:5" x14ac:dyDescent="0.45">
      <c r="A11" s="14" t="s">
        <v>22</v>
      </c>
      <c r="B11" s="15">
        <f>'Flow 0 - Mobile'!B4+'Flow 0 - Web'!B4+'Flow 1 - Mobile'!B4+'Flow 1 - Web'!B4+'Flow 2 - Hazard'!B4+'Offline Test'!B4</f>
        <v>0</v>
      </c>
      <c r="C11" s="19">
        <f>B11/B12</f>
        <v>0</v>
      </c>
      <c r="D11" s="20" t="s">
        <v>23</v>
      </c>
      <c r="E11" s="17"/>
    </row>
    <row r="12" spans="1:5" x14ac:dyDescent="0.45">
      <c r="A12" s="14" t="s">
        <v>24</v>
      </c>
      <c r="B12" s="15">
        <f>'Flow 0 - Mobile'!B5+'Flow 0 - Web'!B5+'Flow 1 - Mobile'!B5+'Flow 1 - Web'!B5+'Flow 2 - Hazard'!B5+'Offline Test'!B5</f>
        <v>44</v>
      </c>
      <c r="C12" s="19">
        <f>SUM(C9:C11)</f>
        <v>1</v>
      </c>
      <c r="D12" s="20" t="s">
        <v>25</v>
      </c>
      <c r="E12" s="17"/>
    </row>
    <row r="13" spans="1:5" x14ac:dyDescent="0.45">
      <c r="A13" s="17"/>
      <c r="B13" s="17"/>
      <c r="C13" s="17"/>
      <c r="D13" s="17"/>
      <c r="E13" s="17"/>
    </row>
    <row r="14" spans="1:5" x14ac:dyDescent="0.45">
      <c r="A14" s="42" t="s">
        <v>51</v>
      </c>
      <c r="B14" s="42"/>
      <c r="C14" s="42"/>
      <c r="D14" s="17"/>
      <c r="E14" s="17"/>
    </row>
    <row r="15" spans="1:5" x14ac:dyDescent="0.45">
      <c r="A15" s="14" t="s">
        <v>52</v>
      </c>
      <c r="B15" s="38" t="s">
        <v>53</v>
      </c>
      <c r="C15" s="38"/>
      <c r="D15" s="17"/>
      <c r="E15" s="17"/>
    </row>
    <row r="16" spans="1:5" x14ac:dyDescent="0.45">
      <c r="A16" s="37" t="s">
        <v>54</v>
      </c>
      <c r="B16" s="14" t="s">
        <v>55</v>
      </c>
      <c r="C16" s="21"/>
      <c r="D16" s="17"/>
      <c r="E16" s="17"/>
    </row>
    <row r="17" spans="1:5" x14ac:dyDescent="0.45">
      <c r="A17" s="37"/>
      <c r="B17" s="14" t="s">
        <v>56</v>
      </c>
      <c r="C17" s="15"/>
      <c r="D17" s="17"/>
      <c r="E17" s="17"/>
    </row>
    <row r="18" spans="1:5" x14ac:dyDescent="0.45">
      <c r="A18" s="17"/>
      <c r="B18" s="17"/>
      <c r="C18" s="17"/>
      <c r="D18" s="17"/>
      <c r="E18" s="17"/>
    </row>
    <row r="19" spans="1:5" x14ac:dyDescent="0.45">
      <c r="A19" s="39" t="s">
        <v>57</v>
      </c>
      <c r="B19" s="40"/>
      <c r="C19" s="40"/>
      <c r="D19" s="40"/>
      <c r="E19" s="41"/>
    </row>
    <row r="20" spans="1:5" x14ac:dyDescent="0.45">
      <c r="A20" s="14" t="s">
        <v>58</v>
      </c>
      <c r="B20" s="14" t="s">
        <v>59</v>
      </c>
      <c r="C20" s="14" t="s">
        <v>44</v>
      </c>
      <c r="D20" s="37" t="s">
        <v>60</v>
      </c>
      <c r="E20" s="37"/>
    </row>
    <row r="21" spans="1:5" x14ac:dyDescent="0.45">
      <c r="A21" s="22" t="s">
        <v>61</v>
      </c>
      <c r="B21" s="16">
        <v>46316</v>
      </c>
      <c r="C21" s="15" t="s">
        <v>45</v>
      </c>
      <c r="D21" s="35" t="s">
        <v>62</v>
      </c>
      <c r="E21" s="35"/>
    </row>
    <row r="22" spans="1:5" x14ac:dyDescent="0.45">
      <c r="A22" s="22"/>
      <c r="B22" s="23"/>
      <c r="C22" s="15"/>
      <c r="D22" s="35"/>
      <c r="E22" s="35"/>
    </row>
    <row r="23" spans="1:5" x14ac:dyDescent="0.45">
      <c r="A23" s="24"/>
      <c r="B23" s="23"/>
      <c r="C23" s="15"/>
      <c r="D23" s="35"/>
      <c r="E23" s="35"/>
    </row>
    <row r="24" spans="1:5" x14ac:dyDescent="0.45">
      <c r="A24" s="24"/>
      <c r="B24" s="23"/>
      <c r="C24" s="15"/>
      <c r="D24" s="35"/>
      <c r="E24" s="35"/>
    </row>
    <row r="25" spans="1:5" x14ac:dyDescent="0.45">
      <c r="A25" s="15"/>
      <c r="B25" s="23"/>
      <c r="C25" s="15"/>
      <c r="D25" s="35"/>
      <c r="E25" s="35"/>
    </row>
    <row r="26" spans="1:5" x14ac:dyDescent="0.45">
      <c r="A26" s="15"/>
      <c r="B26" s="23"/>
      <c r="C26" s="15"/>
      <c r="D26" s="35"/>
      <c r="E26" s="35"/>
    </row>
  </sheetData>
  <mergeCells count="16">
    <mergeCell ref="D26:E26"/>
    <mergeCell ref="A1:E1"/>
    <mergeCell ref="D20:E20"/>
    <mergeCell ref="D21:E21"/>
    <mergeCell ref="D22:E22"/>
    <mergeCell ref="D23:E23"/>
    <mergeCell ref="D24:E24"/>
    <mergeCell ref="D25:E25"/>
    <mergeCell ref="B15:C15"/>
    <mergeCell ref="A16:A17"/>
    <mergeCell ref="A19:E19"/>
    <mergeCell ref="A14:C14"/>
    <mergeCell ref="A3:A5"/>
    <mergeCell ref="B3:C5"/>
    <mergeCell ref="A8:D8"/>
    <mergeCell ref="B2:C2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7"/>
  <sheetViews>
    <sheetView showGridLines="0" zoomScale="55" zoomScaleNormal="55" workbookViewId="0">
      <pane ySplit="7" topLeftCell="A14" activePane="bottomLeft" state="frozen"/>
      <selection pane="bottomLeft" activeCell="C26" sqref="C26"/>
    </sheetView>
  </sheetViews>
  <sheetFormatPr defaultRowHeight="14.25" x14ac:dyDescent="0.45"/>
  <cols>
    <col min="1" max="1" width="16" customWidth="1"/>
    <col min="2" max="2" width="42" customWidth="1"/>
    <col min="3" max="3" width="38" customWidth="1"/>
    <col min="4" max="4" width="58" customWidth="1"/>
    <col min="5" max="6" width="62" customWidth="1"/>
    <col min="7" max="7" width="14" customWidth="1"/>
    <col min="8" max="8" width="62" customWidth="1"/>
  </cols>
  <sheetData>
    <row r="1" spans="1:9" s="3" customFormat="1" ht="15.75" x14ac:dyDescent="0.45">
      <c r="A1" s="32" t="s">
        <v>18</v>
      </c>
      <c r="B1" s="33"/>
      <c r="C1" s="33"/>
      <c r="D1" s="34"/>
      <c r="E1" s="4"/>
      <c r="F1" s="4"/>
      <c r="H1" s="5"/>
    </row>
    <row r="2" spans="1:9" s="3" customFormat="1" x14ac:dyDescent="0.45">
      <c r="A2" s="6" t="s">
        <v>16</v>
      </c>
      <c r="B2" s="12">
        <f>COUNTIF(G8:G86,A2)</f>
        <v>10</v>
      </c>
      <c r="C2" s="7">
        <f>(B2/B5)</f>
        <v>1</v>
      </c>
      <c r="D2" s="8" t="s">
        <v>19</v>
      </c>
      <c r="E2" s="4"/>
      <c r="F2" s="4"/>
      <c r="H2" s="5"/>
    </row>
    <row r="3" spans="1:9" s="3" customFormat="1" x14ac:dyDescent="0.45">
      <c r="A3" s="6" t="s">
        <v>20</v>
      </c>
      <c r="B3" s="12">
        <f>COUNTIF(G9:G87,A3)</f>
        <v>0</v>
      </c>
      <c r="C3" s="7">
        <f>(B3/B5)</f>
        <v>0</v>
      </c>
      <c r="D3" s="8" t="s">
        <v>21</v>
      </c>
      <c r="E3" s="4"/>
      <c r="F3" s="4"/>
      <c r="H3" s="5"/>
    </row>
    <row r="4" spans="1:9" s="3" customFormat="1" x14ac:dyDescent="0.45">
      <c r="A4" s="6" t="s">
        <v>22</v>
      </c>
      <c r="B4" s="12">
        <f>COUNTIF(G10:G88,A4)</f>
        <v>0</v>
      </c>
      <c r="C4" s="7">
        <f>(B4/B5)</f>
        <v>0</v>
      </c>
      <c r="D4" s="8" t="s">
        <v>23</v>
      </c>
      <c r="E4" s="4"/>
      <c r="F4" s="4"/>
      <c r="H4" s="5"/>
    </row>
    <row r="5" spans="1:9" s="3" customFormat="1" x14ac:dyDescent="0.45">
      <c r="A5" s="6" t="s">
        <v>24</v>
      </c>
      <c r="B5" s="12">
        <f>SUM(B2:B4)</f>
        <v>10</v>
      </c>
      <c r="C5" s="7">
        <f>SUM(C2:C4)</f>
        <v>1</v>
      </c>
      <c r="D5" s="8" t="s">
        <v>25</v>
      </c>
      <c r="E5" s="4"/>
      <c r="F5" s="4"/>
      <c r="H5" s="5"/>
    </row>
    <row r="6" spans="1:9" s="3" customFormat="1" x14ac:dyDescent="0.45">
      <c r="A6" s="4"/>
      <c r="B6" s="4"/>
      <c r="E6" s="9"/>
      <c r="F6" s="9"/>
      <c r="G6" s="4"/>
      <c r="I6" s="5"/>
    </row>
    <row r="7" spans="1:9" s="3" customFormat="1" x14ac:dyDescent="0.45">
      <c r="A7" s="1" t="s">
        <v>13</v>
      </c>
      <c r="B7" s="1" t="s">
        <v>0</v>
      </c>
      <c r="C7" s="2" t="s">
        <v>1</v>
      </c>
      <c r="D7" s="2" t="s">
        <v>14</v>
      </c>
      <c r="E7" s="10" t="s">
        <v>83</v>
      </c>
      <c r="F7" s="10" t="s">
        <v>2</v>
      </c>
      <c r="G7" s="2" t="s">
        <v>15</v>
      </c>
      <c r="H7" s="10" t="s">
        <v>17</v>
      </c>
    </row>
    <row r="8" spans="1:9" ht="64.05" customHeight="1" x14ac:dyDescent="0.45">
      <c r="A8" s="31" t="s">
        <v>3</v>
      </c>
      <c r="B8" s="31" t="s">
        <v>65</v>
      </c>
      <c r="C8" s="31" t="s">
        <v>66</v>
      </c>
      <c r="D8" s="31" t="s">
        <v>98</v>
      </c>
      <c r="E8" s="31" t="s">
        <v>94</v>
      </c>
      <c r="F8" s="31" t="s">
        <v>84</v>
      </c>
      <c r="G8" s="13" t="s">
        <v>16</v>
      </c>
      <c r="H8" s="11"/>
    </row>
    <row r="9" spans="1:9" ht="64.05" customHeight="1" x14ac:dyDescent="0.45">
      <c r="A9" s="31" t="s">
        <v>4</v>
      </c>
      <c r="B9" s="31" t="s">
        <v>67</v>
      </c>
      <c r="C9" s="31" t="s">
        <v>68</v>
      </c>
      <c r="D9" s="31" t="s">
        <v>99</v>
      </c>
      <c r="E9" s="31" t="s">
        <v>94</v>
      </c>
      <c r="F9" s="31" t="s">
        <v>85</v>
      </c>
      <c r="G9" s="13" t="s">
        <v>16</v>
      </c>
      <c r="H9" s="11"/>
    </row>
    <row r="10" spans="1:9" ht="38" customHeight="1" x14ac:dyDescent="0.45">
      <c r="A10" s="31" t="s">
        <v>5</v>
      </c>
      <c r="B10" s="31" t="s">
        <v>69</v>
      </c>
      <c r="C10" s="31" t="s">
        <v>70</v>
      </c>
      <c r="D10" s="31" t="s">
        <v>100</v>
      </c>
      <c r="E10" s="31" t="s">
        <v>69</v>
      </c>
      <c r="F10" s="31" t="s">
        <v>86</v>
      </c>
      <c r="G10" s="13" t="s">
        <v>16</v>
      </c>
      <c r="H10" s="11"/>
    </row>
    <row r="11" spans="1:9" ht="38" customHeight="1" x14ac:dyDescent="0.45">
      <c r="A11" s="31" t="s">
        <v>6</v>
      </c>
      <c r="B11" s="31" t="s">
        <v>71</v>
      </c>
      <c r="C11" s="31" t="s">
        <v>72</v>
      </c>
      <c r="D11" s="31" t="s">
        <v>101</v>
      </c>
      <c r="E11" s="31" t="s">
        <v>94</v>
      </c>
      <c r="F11" s="31" t="s">
        <v>87</v>
      </c>
      <c r="G11" s="13" t="s">
        <v>16</v>
      </c>
      <c r="H11" s="11"/>
    </row>
    <row r="12" spans="1:9" ht="37.9" customHeight="1" x14ac:dyDescent="0.45">
      <c r="A12" s="31" t="s">
        <v>7</v>
      </c>
      <c r="B12" s="31" t="s">
        <v>73</v>
      </c>
      <c r="C12" s="31" t="s">
        <v>74</v>
      </c>
      <c r="D12" s="31" t="s">
        <v>102</v>
      </c>
      <c r="E12" s="31" t="s">
        <v>94</v>
      </c>
      <c r="F12" s="31" t="s">
        <v>88</v>
      </c>
      <c r="G12" s="13" t="s">
        <v>16</v>
      </c>
      <c r="H12" s="11"/>
    </row>
    <row r="13" spans="1:9" ht="64.05" customHeight="1" x14ac:dyDescent="0.45">
      <c r="A13" s="31" t="s">
        <v>8</v>
      </c>
      <c r="B13" s="31" t="s">
        <v>75</v>
      </c>
      <c r="C13" s="31" t="s">
        <v>76</v>
      </c>
      <c r="D13" s="31" t="s">
        <v>103</v>
      </c>
      <c r="E13" s="31" t="s">
        <v>94</v>
      </c>
      <c r="F13" s="31" t="s">
        <v>89</v>
      </c>
      <c r="G13" s="13" t="s">
        <v>16</v>
      </c>
      <c r="H13" s="11"/>
    </row>
    <row r="14" spans="1:9" ht="64.05" customHeight="1" x14ac:dyDescent="0.45">
      <c r="A14" s="31" t="s">
        <v>9</v>
      </c>
      <c r="B14" s="31" t="s">
        <v>77</v>
      </c>
      <c r="C14" s="31" t="s">
        <v>78</v>
      </c>
      <c r="D14" s="31" t="s">
        <v>104</v>
      </c>
      <c r="E14" s="31" t="s">
        <v>94</v>
      </c>
      <c r="F14" s="31" t="s">
        <v>90</v>
      </c>
      <c r="G14" s="13" t="s">
        <v>16</v>
      </c>
      <c r="H14" s="11"/>
    </row>
    <row r="15" spans="1:9" ht="38" customHeight="1" x14ac:dyDescent="0.45">
      <c r="A15" s="31" t="s">
        <v>10</v>
      </c>
      <c r="B15" s="31" t="s">
        <v>79</v>
      </c>
      <c r="C15" s="31" t="s">
        <v>80</v>
      </c>
      <c r="D15" s="31" t="s">
        <v>105</v>
      </c>
      <c r="E15" s="31" t="s">
        <v>95</v>
      </c>
      <c r="F15" s="31" t="s">
        <v>91</v>
      </c>
      <c r="G15" s="13" t="s">
        <v>16</v>
      </c>
      <c r="H15" s="11"/>
    </row>
    <row r="16" spans="1:9" ht="38" customHeight="1" x14ac:dyDescent="0.45">
      <c r="A16" s="31" t="s">
        <v>11</v>
      </c>
      <c r="B16" s="31" t="s">
        <v>81</v>
      </c>
      <c r="C16" s="31" t="s">
        <v>80</v>
      </c>
      <c r="D16" s="31" t="s">
        <v>106</v>
      </c>
      <c r="E16" s="31" t="s">
        <v>96</v>
      </c>
      <c r="F16" s="31" t="s">
        <v>92</v>
      </c>
      <c r="G16" s="13" t="s">
        <v>16</v>
      </c>
      <c r="H16" s="11"/>
    </row>
    <row r="17" spans="1:8" ht="37.9" customHeight="1" x14ac:dyDescent="0.45">
      <c r="A17" s="31" t="s">
        <v>12</v>
      </c>
      <c r="B17" s="31" t="s">
        <v>82</v>
      </c>
      <c r="C17" s="31" t="s">
        <v>80</v>
      </c>
      <c r="D17" s="31" t="s">
        <v>107</v>
      </c>
      <c r="E17" s="31" t="s">
        <v>97</v>
      </c>
      <c r="F17" s="31" t="s">
        <v>93</v>
      </c>
      <c r="G17" s="13" t="s">
        <v>16</v>
      </c>
      <c r="H17" s="11"/>
    </row>
  </sheetData>
  <mergeCells count="1">
    <mergeCell ref="A1:D1"/>
  </mergeCells>
  <phoneticPr fontId="8" type="noConversion"/>
  <dataValidations count="1">
    <dataValidation type="list" allowBlank="1" showInputMessage="1" showErrorMessage="1" sqref="G8:G17" xr:uid="{43D07B6B-E56B-4DEC-ACFC-0790F21A5704}">
      <formula1>$A$2:$A$4</formula1>
    </dataValidation>
  </dataValidations>
  <pageMargins left="0.75" right="0.75" top="1" bottom="1" header="0.5" footer="0.5"/>
  <pageSetup paperSize="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783D9-BAEE-4F98-95C4-0037389C55E9}">
  <sheetPr>
    <pageSetUpPr fitToPage="1"/>
  </sheetPr>
  <dimension ref="A1:I15"/>
  <sheetViews>
    <sheetView showGridLines="0" zoomScale="55" zoomScaleNormal="55" workbookViewId="0">
      <pane ySplit="7" topLeftCell="A8" activePane="bottomLeft" state="frozen"/>
      <selection pane="bottomLeft" activeCell="A8" sqref="A8:A15"/>
    </sheetView>
  </sheetViews>
  <sheetFormatPr defaultRowHeight="14.25" x14ac:dyDescent="0.45"/>
  <cols>
    <col min="1" max="1" width="16" customWidth="1"/>
    <col min="2" max="2" width="42" customWidth="1"/>
    <col min="3" max="3" width="38" customWidth="1"/>
    <col min="4" max="4" width="58" customWidth="1"/>
    <col min="5" max="6" width="62" customWidth="1"/>
    <col min="7" max="7" width="14" customWidth="1"/>
    <col min="8" max="8" width="62" customWidth="1"/>
  </cols>
  <sheetData>
    <row r="1" spans="1:9" s="3" customFormat="1" ht="15.75" x14ac:dyDescent="0.45">
      <c r="A1" s="32" t="s">
        <v>18</v>
      </c>
      <c r="B1" s="33"/>
      <c r="C1" s="33"/>
      <c r="D1" s="34"/>
      <c r="E1" s="4"/>
      <c r="F1" s="4"/>
      <c r="H1" s="5"/>
    </row>
    <row r="2" spans="1:9" s="3" customFormat="1" x14ac:dyDescent="0.45">
      <c r="A2" s="6" t="s">
        <v>16</v>
      </c>
      <c r="B2" s="12">
        <f>COUNTIF(G8:G84,A2)</f>
        <v>8</v>
      </c>
      <c r="C2" s="7">
        <f>(B2/B5)</f>
        <v>1</v>
      </c>
      <c r="D2" s="8" t="s">
        <v>19</v>
      </c>
      <c r="E2" s="4"/>
      <c r="F2" s="4"/>
      <c r="H2" s="5"/>
    </row>
    <row r="3" spans="1:9" s="3" customFormat="1" x14ac:dyDescent="0.45">
      <c r="A3" s="6" t="s">
        <v>20</v>
      </c>
      <c r="B3" s="12">
        <f>COUNTIF(G11:G85,A3)</f>
        <v>0</v>
      </c>
      <c r="C3" s="7">
        <f>(B3/B5)</f>
        <v>0</v>
      </c>
      <c r="D3" s="8" t="s">
        <v>21</v>
      </c>
      <c r="E3" s="4"/>
      <c r="F3" s="4"/>
      <c r="H3" s="5"/>
    </row>
    <row r="4" spans="1:9" s="3" customFormat="1" x14ac:dyDescent="0.45">
      <c r="A4" s="6" t="s">
        <v>22</v>
      </c>
      <c r="B4" s="12">
        <f>COUNTIF(G14:G86,A4)</f>
        <v>0</v>
      </c>
      <c r="C4" s="7">
        <f>(B4/B5)</f>
        <v>0</v>
      </c>
      <c r="D4" s="8" t="s">
        <v>23</v>
      </c>
      <c r="E4" s="4"/>
      <c r="F4" s="4"/>
      <c r="H4" s="5"/>
    </row>
    <row r="5" spans="1:9" s="3" customFormat="1" x14ac:dyDescent="0.45">
      <c r="A5" s="6" t="s">
        <v>24</v>
      </c>
      <c r="B5" s="12">
        <f>SUM(B2:B4)</f>
        <v>8</v>
      </c>
      <c r="C5" s="7">
        <f>SUM(C2:C4)</f>
        <v>1</v>
      </c>
      <c r="D5" s="8" t="s">
        <v>25</v>
      </c>
      <c r="E5" s="4"/>
      <c r="F5" s="4"/>
      <c r="H5" s="5"/>
    </row>
    <row r="6" spans="1:9" s="3" customFormat="1" x14ac:dyDescent="0.45">
      <c r="A6" s="4"/>
      <c r="B6" s="4"/>
      <c r="E6" s="9"/>
      <c r="F6" s="9"/>
      <c r="G6" s="4"/>
      <c r="I6" s="5"/>
    </row>
    <row r="7" spans="1:9" s="3" customFormat="1" x14ac:dyDescent="0.45">
      <c r="A7" s="1" t="s">
        <v>13</v>
      </c>
      <c r="B7" s="1" t="s">
        <v>0</v>
      </c>
      <c r="C7" s="2" t="s">
        <v>1</v>
      </c>
      <c r="D7" s="2" t="s">
        <v>14</v>
      </c>
      <c r="E7" s="10" t="s">
        <v>83</v>
      </c>
      <c r="F7" s="10" t="s">
        <v>2</v>
      </c>
      <c r="G7" s="2" t="s">
        <v>15</v>
      </c>
      <c r="H7" s="10" t="s">
        <v>17</v>
      </c>
    </row>
    <row r="8" spans="1:9" ht="64.05" customHeight="1" x14ac:dyDescent="0.45">
      <c r="A8" s="31" t="s">
        <v>108</v>
      </c>
      <c r="B8" s="31" t="s">
        <v>65</v>
      </c>
      <c r="C8" s="31" t="s">
        <v>66</v>
      </c>
      <c r="D8" s="31" t="s">
        <v>98</v>
      </c>
      <c r="E8" s="31" t="s">
        <v>94</v>
      </c>
      <c r="F8" s="31" t="s">
        <v>84</v>
      </c>
      <c r="G8" s="13" t="s">
        <v>16</v>
      </c>
      <c r="H8" s="11"/>
    </row>
    <row r="9" spans="1:9" ht="38" customHeight="1" x14ac:dyDescent="0.45">
      <c r="A9" s="31" t="s">
        <v>109</v>
      </c>
      <c r="B9" s="31" t="s">
        <v>69</v>
      </c>
      <c r="C9" s="31" t="s">
        <v>70</v>
      </c>
      <c r="D9" s="31" t="s">
        <v>100</v>
      </c>
      <c r="E9" s="31" t="s">
        <v>69</v>
      </c>
      <c r="F9" s="31" t="s">
        <v>86</v>
      </c>
      <c r="G9" s="13" t="s">
        <v>16</v>
      </c>
      <c r="H9" s="11"/>
    </row>
    <row r="10" spans="1:9" ht="38" customHeight="1" x14ac:dyDescent="0.45">
      <c r="A10" s="31" t="s">
        <v>110</v>
      </c>
      <c r="B10" s="31" t="s">
        <v>79</v>
      </c>
      <c r="C10" s="31" t="s">
        <v>80</v>
      </c>
      <c r="D10" s="31" t="s">
        <v>105</v>
      </c>
      <c r="E10" s="31" t="s">
        <v>95</v>
      </c>
      <c r="F10" s="31" t="s">
        <v>236</v>
      </c>
      <c r="G10" s="13" t="s">
        <v>16</v>
      </c>
      <c r="H10" s="11"/>
    </row>
    <row r="11" spans="1:9" ht="64.05" customHeight="1" x14ac:dyDescent="0.45">
      <c r="A11" s="31" t="s">
        <v>111</v>
      </c>
      <c r="B11" s="31" t="s">
        <v>67</v>
      </c>
      <c r="C11" s="31" t="s">
        <v>68</v>
      </c>
      <c r="D11" s="31" t="s">
        <v>99</v>
      </c>
      <c r="E11" s="31" t="s">
        <v>94</v>
      </c>
      <c r="F11" s="31" t="s">
        <v>85</v>
      </c>
      <c r="G11" s="13" t="s">
        <v>16</v>
      </c>
      <c r="H11" s="11"/>
    </row>
    <row r="12" spans="1:9" ht="38" customHeight="1" x14ac:dyDescent="0.45">
      <c r="A12" s="31" t="s">
        <v>112</v>
      </c>
      <c r="B12" s="31" t="s">
        <v>71</v>
      </c>
      <c r="C12" s="31" t="s">
        <v>72</v>
      </c>
      <c r="D12" s="31" t="s">
        <v>101</v>
      </c>
      <c r="E12" s="31" t="s">
        <v>94</v>
      </c>
      <c r="F12" s="31" t="s">
        <v>87</v>
      </c>
      <c r="G12" s="13" t="s">
        <v>16</v>
      </c>
      <c r="H12" s="11"/>
    </row>
    <row r="13" spans="1:9" ht="37.9" customHeight="1" x14ac:dyDescent="0.45">
      <c r="A13" s="31" t="s">
        <v>113</v>
      </c>
      <c r="B13" s="31" t="s">
        <v>73</v>
      </c>
      <c r="C13" s="31" t="s">
        <v>74</v>
      </c>
      <c r="D13" s="31" t="s">
        <v>102</v>
      </c>
      <c r="E13" s="31" t="s">
        <v>94</v>
      </c>
      <c r="F13" s="31" t="s">
        <v>88</v>
      </c>
      <c r="G13" s="13" t="s">
        <v>16</v>
      </c>
      <c r="H13" s="11"/>
    </row>
    <row r="14" spans="1:9" ht="64.05" customHeight="1" x14ac:dyDescent="0.45">
      <c r="A14" s="31" t="s">
        <v>114</v>
      </c>
      <c r="B14" s="31" t="s">
        <v>75</v>
      </c>
      <c r="C14" s="31" t="s">
        <v>76</v>
      </c>
      <c r="D14" s="31" t="s">
        <v>103</v>
      </c>
      <c r="E14" s="31" t="s">
        <v>94</v>
      </c>
      <c r="F14" s="31" t="s">
        <v>89</v>
      </c>
      <c r="G14" s="13" t="s">
        <v>16</v>
      </c>
      <c r="H14" s="11"/>
    </row>
    <row r="15" spans="1:9" ht="64.05" customHeight="1" x14ac:dyDescent="0.45">
      <c r="A15" s="31" t="s">
        <v>115</v>
      </c>
      <c r="B15" s="31" t="s">
        <v>77</v>
      </c>
      <c r="C15" s="31" t="s">
        <v>78</v>
      </c>
      <c r="D15" s="31" t="s">
        <v>104</v>
      </c>
      <c r="E15" s="31" t="s">
        <v>94</v>
      </c>
      <c r="F15" s="31" t="s">
        <v>90</v>
      </c>
      <c r="G15" s="13" t="s">
        <v>16</v>
      </c>
      <c r="H15" s="11"/>
    </row>
  </sheetData>
  <mergeCells count="1">
    <mergeCell ref="A1:D1"/>
  </mergeCells>
  <phoneticPr fontId="8" type="noConversion"/>
  <dataValidations count="1">
    <dataValidation type="list" allowBlank="1" showInputMessage="1" showErrorMessage="1" sqref="G8:G15" xr:uid="{E267A68C-BA21-4BA7-B06A-EF816F385616}">
      <formula1>$A$2:$A$4</formula1>
    </dataValidation>
  </dataValidations>
  <pageMargins left="0.75" right="0.75" top="1" bottom="1" header="0.5" footer="0.5"/>
  <pageSetup paperSize="8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6E74B-AAC4-4D87-89E9-2356A414E02B}">
  <sheetPr>
    <pageSetUpPr fitToPage="1"/>
  </sheetPr>
  <dimension ref="A1:I12"/>
  <sheetViews>
    <sheetView showGridLines="0" zoomScale="55" zoomScaleNormal="55" workbookViewId="0">
      <pane ySplit="7" topLeftCell="A8" activePane="bottomLeft" state="frozen"/>
      <selection pane="bottomLeft" activeCell="C25" sqref="C25"/>
    </sheetView>
  </sheetViews>
  <sheetFormatPr defaultRowHeight="14.25" x14ac:dyDescent="0.45"/>
  <cols>
    <col min="1" max="1" width="16" customWidth="1"/>
    <col min="2" max="2" width="42" customWidth="1"/>
    <col min="3" max="3" width="38" customWidth="1"/>
    <col min="4" max="4" width="58" customWidth="1"/>
    <col min="5" max="6" width="62" customWidth="1"/>
    <col min="7" max="7" width="14" customWidth="1"/>
    <col min="8" max="8" width="62" customWidth="1"/>
  </cols>
  <sheetData>
    <row r="1" spans="1:9" s="3" customFormat="1" ht="15.75" x14ac:dyDescent="0.45">
      <c r="A1" s="32" t="s">
        <v>18</v>
      </c>
      <c r="B1" s="33"/>
      <c r="C1" s="33"/>
      <c r="D1" s="34"/>
      <c r="E1" s="4"/>
      <c r="F1" s="4"/>
      <c r="H1" s="5"/>
    </row>
    <row r="2" spans="1:9" s="3" customFormat="1" x14ac:dyDescent="0.45">
      <c r="A2" s="6" t="s">
        <v>16</v>
      </c>
      <c r="B2" s="12">
        <f>COUNTIF(G8:G81,A2)</f>
        <v>5</v>
      </c>
      <c r="C2" s="7">
        <f>(B2/B5)</f>
        <v>1</v>
      </c>
      <c r="D2" s="8" t="s">
        <v>19</v>
      </c>
      <c r="E2" s="4"/>
      <c r="F2" s="4"/>
      <c r="H2" s="5"/>
    </row>
    <row r="3" spans="1:9" s="3" customFormat="1" x14ac:dyDescent="0.45">
      <c r="A3" s="6" t="s">
        <v>20</v>
      </c>
      <c r="B3" s="12">
        <f>COUNTIF(G9:G82,A3)</f>
        <v>0</v>
      </c>
      <c r="C3" s="7">
        <f>(B3/B5)</f>
        <v>0</v>
      </c>
      <c r="D3" s="8" t="s">
        <v>21</v>
      </c>
      <c r="E3" s="4"/>
      <c r="F3" s="4"/>
      <c r="H3" s="5"/>
    </row>
    <row r="4" spans="1:9" s="3" customFormat="1" x14ac:dyDescent="0.45">
      <c r="A4" s="6" t="s">
        <v>22</v>
      </c>
      <c r="B4" s="12">
        <f>COUNTIF(G10:G83,A4)</f>
        <v>0</v>
      </c>
      <c r="C4" s="7">
        <f>(B4/B5)</f>
        <v>0</v>
      </c>
      <c r="D4" s="8" t="s">
        <v>23</v>
      </c>
      <c r="E4" s="4"/>
      <c r="F4" s="4"/>
      <c r="H4" s="5"/>
    </row>
    <row r="5" spans="1:9" s="3" customFormat="1" x14ac:dyDescent="0.45">
      <c r="A5" s="6" t="s">
        <v>24</v>
      </c>
      <c r="B5" s="12">
        <f>SUM(B2:B4)</f>
        <v>5</v>
      </c>
      <c r="C5" s="7">
        <f>SUM(C2:C4)</f>
        <v>1</v>
      </c>
      <c r="D5" s="8" t="s">
        <v>25</v>
      </c>
      <c r="E5" s="4"/>
      <c r="F5" s="4"/>
      <c r="H5" s="5"/>
    </row>
    <row r="6" spans="1:9" s="3" customFormat="1" x14ac:dyDescent="0.45">
      <c r="A6" s="4"/>
      <c r="B6" s="4"/>
      <c r="E6" s="9"/>
      <c r="F6" s="9"/>
      <c r="G6" s="4"/>
      <c r="I6" s="5"/>
    </row>
    <row r="7" spans="1:9" s="3" customFormat="1" x14ac:dyDescent="0.45">
      <c r="A7" s="1" t="s">
        <v>13</v>
      </c>
      <c r="B7" s="1" t="s">
        <v>0</v>
      </c>
      <c r="C7" s="2" t="s">
        <v>1</v>
      </c>
      <c r="D7" s="2" t="s">
        <v>14</v>
      </c>
      <c r="E7" s="10" t="s">
        <v>83</v>
      </c>
      <c r="F7" s="10" t="s">
        <v>2</v>
      </c>
      <c r="G7" s="2" t="s">
        <v>15</v>
      </c>
      <c r="H7" s="10" t="s">
        <v>17</v>
      </c>
    </row>
    <row r="8" spans="1:9" ht="64.05" customHeight="1" x14ac:dyDescent="0.45">
      <c r="A8" s="31" t="s">
        <v>26</v>
      </c>
      <c r="B8" s="31" t="s">
        <v>138</v>
      </c>
      <c r="C8" s="31" t="s">
        <v>143</v>
      </c>
      <c r="D8" s="31" t="s">
        <v>145</v>
      </c>
      <c r="E8" s="31" t="s">
        <v>144</v>
      </c>
      <c r="F8" s="31" t="s">
        <v>231</v>
      </c>
      <c r="G8" s="13" t="s">
        <v>16</v>
      </c>
      <c r="H8" s="11"/>
    </row>
    <row r="9" spans="1:9" ht="64.05" customHeight="1" x14ac:dyDescent="0.45">
      <c r="A9" s="31" t="s">
        <v>27</v>
      </c>
      <c r="B9" s="31" t="s">
        <v>139</v>
      </c>
      <c r="C9" s="31" t="s">
        <v>146</v>
      </c>
      <c r="D9" s="31" t="s">
        <v>148</v>
      </c>
      <c r="E9" s="31" t="s">
        <v>147</v>
      </c>
      <c r="F9" s="31" t="s">
        <v>232</v>
      </c>
      <c r="G9" s="13" t="s">
        <v>16</v>
      </c>
      <c r="H9" s="11"/>
    </row>
    <row r="10" spans="1:9" ht="38" customHeight="1" x14ac:dyDescent="0.45">
      <c r="A10" s="31" t="s">
        <v>28</v>
      </c>
      <c r="B10" s="31" t="s">
        <v>140</v>
      </c>
      <c r="C10" s="31" t="s">
        <v>149</v>
      </c>
      <c r="D10" s="31" t="s">
        <v>151</v>
      </c>
      <c r="E10" s="31" t="s">
        <v>150</v>
      </c>
      <c r="F10" s="31" t="s">
        <v>233</v>
      </c>
      <c r="G10" s="13" t="s">
        <v>16</v>
      </c>
      <c r="H10" s="11"/>
    </row>
    <row r="11" spans="1:9" ht="38" customHeight="1" x14ac:dyDescent="0.45">
      <c r="A11" s="31" t="s">
        <v>29</v>
      </c>
      <c r="B11" s="31" t="s">
        <v>141</v>
      </c>
      <c r="C11" s="31" t="s">
        <v>152</v>
      </c>
      <c r="D11" s="31" t="s">
        <v>154</v>
      </c>
      <c r="E11" s="31" t="s">
        <v>153</v>
      </c>
      <c r="F11" s="31" t="s">
        <v>234</v>
      </c>
      <c r="G11" s="13" t="s">
        <v>16</v>
      </c>
      <c r="H11" s="11"/>
    </row>
    <row r="12" spans="1:9" ht="37.9" customHeight="1" x14ac:dyDescent="0.45">
      <c r="A12" s="31" t="s">
        <v>30</v>
      </c>
      <c r="B12" s="31" t="s">
        <v>142</v>
      </c>
      <c r="C12" s="31" t="s">
        <v>155</v>
      </c>
      <c r="D12" s="31" t="s">
        <v>157</v>
      </c>
      <c r="E12" s="31" t="s">
        <v>156</v>
      </c>
      <c r="F12" s="31" t="s">
        <v>235</v>
      </c>
      <c r="G12" s="13" t="s">
        <v>16</v>
      </c>
      <c r="H12" s="11"/>
    </row>
  </sheetData>
  <mergeCells count="1">
    <mergeCell ref="A1:D1"/>
  </mergeCells>
  <dataValidations count="1">
    <dataValidation type="list" allowBlank="1" showInputMessage="1" showErrorMessage="1" sqref="G8:G12" xr:uid="{0CA6ED5E-5DB8-458E-8A2C-63757ADC3FB8}">
      <formula1>$A$2:$A$4</formula1>
    </dataValidation>
  </dataValidations>
  <pageMargins left="0.75" right="0.75" top="1" bottom="1" header="0.5" footer="0.5"/>
  <pageSetup paperSize="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5814C-7934-4E2C-A562-C9B11E2E2161}">
  <sheetPr>
    <pageSetUpPr fitToPage="1"/>
  </sheetPr>
  <dimension ref="A1:I14"/>
  <sheetViews>
    <sheetView showGridLines="0" zoomScale="55" zoomScaleNormal="55" workbookViewId="0">
      <pane ySplit="7" topLeftCell="A8" activePane="bottomLeft" state="frozen"/>
      <selection pane="bottomLeft" activeCell="D25" sqref="D25"/>
    </sheetView>
  </sheetViews>
  <sheetFormatPr defaultRowHeight="14.25" x14ac:dyDescent="0.45"/>
  <cols>
    <col min="1" max="1" width="16" customWidth="1"/>
    <col min="2" max="2" width="42" customWidth="1"/>
    <col min="3" max="3" width="38" customWidth="1"/>
    <col min="4" max="4" width="58" customWidth="1"/>
    <col min="5" max="6" width="62" customWidth="1"/>
    <col min="7" max="7" width="14" customWidth="1"/>
    <col min="8" max="8" width="62" customWidth="1"/>
  </cols>
  <sheetData>
    <row r="1" spans="1:9" s="3" customFormat="1" ht="15.75" x14ac:dyDescent="0.45">
      <c r="A1" s="32" t="s">
        <v>18</v>
      </c>
      <c r="B1" s="33"/>
      <c r="C1" s="33"/>
      <c r="D1" s="34"/>
      <c r="E1" s="4"/>
      <c r="F1" s="4"/>
      <c r="H1" s="5"/>
    </row>
    <row r="2" spans="1:9" s="3" customFormat="1" x14ac:dyDescent="0.45">
      <c r="A2" s="6" t="s">
        <v>16</v>
      </c>
      <c r="B2" s="12">
        <f>COUNTIF(G8:G83,A2)</f>
        <v>7</v>
      </c>
      <c r="C2" s="7">
        <f>(B2/B5)</f>
        <v>1</v>
      </c>
      <c r="D2" s="8" t="s">
        <v>19</v>
      </c>
      <c r="E2" s="4"/>
      <c r="F2" s="4"/>
      <c r="H2" s="5"/>
    </row>
    <row r="3" spans="1:9" s="3" customFormat="1" x14ac:dyDescent="0.45">
      <c r="A3" s="6" t="s">
        <v>20</v>
      </c>
      <c r="B3" s="12">
        <f>COUNTIF(G9:G84,A3)</f>
        <v>0</v>
      </c>
      <c r="C3" s="7">
        <f>(B3/B5)</f>
        <v>0</v>
      </c>
      <c r="D3" s="8" t="s">
        <v>21</v>
      </c>
      <c r="E3" s="4"/>
      <c r="F3" s="4"/>
      <c r="H3" s="5"/>
    </row>
    <row r="4" spans="1:9" s="3" customFormat="1" x14ac:dyDescent="0.45">
      <c r="A4" s="6" t="s">
        <v>22</v>
      </c>
      <c r="B4" s="12">
        <f>COUNTIF(G10:G85,A4)</f>
        <v>0</v>
      </c>
      <c r="C4" s="7">
        <f>(B4/B5)</f>
        <v>0</v>
      </c>
      <c r="D4" s="8" t="s">
        <v>23</v>
      </c>
      <c r="E4" s="4"/>
      <c r="F4" s="4"/>
      <c r="H4" s="5"/>
    </row>
    <row r="5" spans="1:9" s="3" customFormat="1" x14ac:dyDescent="0.45">
      <c r="A5" s="6" t="s">
        <v>24</v>
      </c>
      <c r="B5" s="12">
        <f>SUM(B2:B4)</f>
        <v>7</v>
      </c>
      <c r="C5" s="7">
        <f>SUM(C2:C4)</f>
        <v>1</v>
      </c>
      <c r="D5" s="8" t="s">
        <v>25</v>
      </c>
      <c r="E5" s="4"/>
      <c r="F5" s="4"/>
      <c r="H5" s="5"/>
    </row>
    <row r="6" spans="1:9" s="3" customFormat="1" x14ac:dyDescent="0.45">
      <c r="A6" s="4"/>
      <c r="B6" s="4"/>
      <c r="E6" s="9"/>
      <c r="F6" s="9"/>
      <c r="G6" s="4"/>
      <c r="I6" s="5"/>
    </row>
    <row r="7" spans="1:9" s="3" customFormat="1" x14ac:dyDescent="0.45">
      <c r="A7" s="1" t="s">
        <v>13</v>
      </c>
      <c r="B7" s="1" t="s">
        <v>0</v>
      </c>
      <c r="C7" s="2" t="s">
        <v>1</v>
      </c>
      <c r="D7" s="2" t="s">
        <v>14</v>
      </c>
      <c r="E7" s="10" t="s">
        <v>83</v>
      </c>
      <c r="F7" s="10" t="s">
        <v>2</v>
      </c>
      <c r="G7" s="2" t="s">
        <v>15</v>
      </c>
      <c r="H7" s="10" t="s">
        <v>17</v>
      </c>
    </row>
    <row r="8" spans="1:9" ht="64.05" customHeight="1" x14ac:dyDescent="0.45">
      <c r="A8" s="31" t="s">
        <v>116</v>
      </c>
      <c r="B8" s="31" t="s">
        <v>122</v>
      </c>
      <c r="C8" s="31" t="s">
        <v>128</v>
      </c>
      <c r="D8" s="31" t="s">
        <v>130</v>
      </c>
      <c r="E8" s="31" t="s">
        <v>129</v>
      </c>
      <c r="F8" s="31" t="s">
        <v>224</v>
      </c>
      <c r="G8" s="13" t="s">
        <v>16</v>
      </c>
      <c r="H8" s="11"/>
    </row>
    <row r="9" spans="1:9" ht="64.05" customHeight="1" x14ac:dyDescent="0.45">
      <c r="A9" s="31" t="s">
        <v>117</v>
      </c>
      <c r="B9" s="31" t="s">
        <v>123</v>
      </c>
      <c r="C9" s="31" t="s">
        <v>128</v>
      </c>
      <c r="D9" s="31" t="s">
        <v>131</v>
      </c>
      <c r="E9" s="31" t="s">
        <v>129</v>
      </c>
      <c r="F9" s="31" t="s">
        <v>225</v>
      </c>
      <c r="G9" s="13" t="s">
        <v>16</v>
      </c>
      <c r="H9" s="11"/>
    </row>
    <row r="10" spans="1:9" ht="38" customHeight="1" x14ac:dyDescent="0.45">
      <c r="A10" s="31" t="s">
        <v>118</v>
      </c>
      <c r="B10" s="31" t="s">
        <v>124</v>
      </c>
      <c r="C10" s="31" t="s">
        <v>128</v>
      </c>
      <c r="D10" s="31" t="s">
        <v>132</v>
      </c>
      <c r="E10" s="31" t="s">
        <v>129</v>
      </c>
      <c r="F10" s="31" t="s">
        <v>226</v>
      </c>
      <c r="G10" s="13" t="s">
        <v>16</v>
      </c>
      <c r="H10" s="11"/>
    </row>
    <row r="11" spans="1:9" ht="38" customHeight="1" x14ac:dyDescent="0.45">
      <c r="A11" s="31" t="s">
        <v>119</v>
      </c>
      <c r="B11" s="31" t="s">
        <v>125</v>
      </c>
      <c r="C11" s="31" t="s">
        <v>128</v>
      </c>
      <c r="D11" s="31" t="s">
        <v>133</v>
      </c>
      <c r="E11" s="31" t="s">
        <v>129</v>
      </c>
      <c r="F11" s="31" t="s">
        <v>227</v>
      </c>
      <c r="G11" s="13" t="s">
        <v>16</v>
      </c>
      <c r="H11" s="11"/>
    </row>
    <row r="12" spans="1:9" ht="37.9" customHeight="1" x14ac:dyDescent="0.45">
      <c r="A12" s="31" t="s">
        <v>120</v>
      </c>
      <c r="B12" s="31" t="s">
        <v>31</v>
      </c>
      <c r="C12" s="31" t="s">
        <v>128</v>
      </c>
      <c r="D12" s="31" t="s">
        <v>134</v>
      </c>
      <c r="E12" s="31" t="s">
        <v>129</v>
      </c>
      <c r="F12" s="31" t="s">
        <v>228</v>
      </c>
      <c r="G12" s="13" t="s">
        <v>16</v>
      </c>
      <c r="H12" s="11"/>
    </row>
    <row r="13" spans="1:9" ht="64.05" customHeight="1" x14ac:dyDescent="0.45">
      <c r="A13" s="31" t="s">
        <v>121</v>
      </c>
      <c r="B13" s="31" t="s">
        <v>126</v>
      </c>
      <c r="C13" s="31" t="s">
        <v>128</v>
      </c>
      <c r="D13" s="31" t="s">
        <v>135</v>
      </c>
      <c r="E13" s="31" t="s">
        <v>129</v>
      </c>
      <c r="F13" s="31" t="s">
        <v>229</v>
      </c>
      <c r="G13" s="13" t="s">
        <v>16</v>
      </c>
      <c r="H13" s="11"/>
    </row>
    <row r="14" spans="1:9" ht="64.05" customHeight="1" x14ac:dyDescent="0.45">
      <c r="A14" s="31" t="s">
        <v>137</v>
      </c>
      <c r="B14" s="31" t="s">
        <v>127</v>
      </c>
      <c r="C14" s="31" t="s">
        <v>128</v>
      </c>
      <c r="D14" s="31" t="s">
        <v>136</v>
      </c>
      <c r="E14" s="31" t="s">
        <v>129</v>
      </c>
      <c r="F14" s="31" t="s">
        <v>230</v>
      </c>
      <c r="G14" s="13" t="s">
        <v>16</v>
      </c>
      <c r="H14" s="11"/>
    </row>
  </sheetData>
  <mergeCells count="1">
    <mergeCell ref="A1:D1"/>
  </mergeCells>
  <dataValidations count="1">
    <dataValidation type="list" allowBlank="1" showInputMessage="1" showErrorMessage="1" sqref="G8:G14" xr:uid="{460654A4-8E34-498A-ADA8-583C639647C1}">
      <formula1>$A$2:$A$4</formula1>
    </dataValidation>
  </dataValidations>
  <pageMargins left="0.75" right="0.75" top="1" bottom="1" header="0.5" footer="0.5"/>
  <pageSetup paperSize="8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1A51-30E7-42FD-8694-9365990254E0}">
  <sheetPr>
    <pageSetUpPr fitToPage="1"/>
  </sheetPr>
  <dimension ref="A1:I19"/>
  <sheetViews>
    <sheetView showGridLines="0" topLeftCell="C1" zoomScale="55" zoomScaleNormal="55" workbookViewId="0">
      <pane ySplit="7" topLeftCell="A8" activePane="bottomLeft" state="frozen"/>
      <selection pane="bottomLeft" activeCell="D13" sqref="D13"/>
    </sheetView>
  </sheetViews>
  <sheetFormatPr defaultRowHeight="14.25" x14ac:dyDescent="0.45"/>
  <cols>
    <col min="1" max="1" width="16" customWidth="1"/>
    <col min="2" max="2" width="42" customWidth="1"/>
    <col min="3" max="3" width="38" customWidth="1"/>
    <col min="4" max="4" width="58" customWidth="1"/>
    <col min="5" max="6" width="62" customWidth="1"/>
    <col min="7" max="7" width="14" customWidth="1"/>
    <col min="8" max="8" width="62" customWidth="1"/>
  </cols>
  <sheetData>
    <row r="1" spans="1:9" s="3" customFormat="1" ht="15.75" x14ac:dyDescent="0.45">
      <c r="A1" s="32" t="s">
        <v>18</v>
      </c>
      <c r="B1" s="33"/>
      <c r="C1" s="33"/>
      <c r="D1" s="34"/>
      <c r="E1" s="4"/>
      <c r="F1" s="4"/>
      <c r="H1" s="5"/>
    </row>
    <row r="2" spans="1:9" s="3" customFormat="1" x14ac:dyDescent="0.45">
      <c r="A2" s="6" t="s">
        <v>16</v>
      </c>
      <c r="B2" s="12">
        <f>COUNTIF(G8:G87,A2)</f>
        <v>12</v>
      </c>
      <c r="C2" s="7">
        <f>(B2/B5)</f>
        <v>1</v>
      </c>
      <c r="D2" s="8" t="s">
        <v>19</v>
      </c>
      <c r="E2" s="4"/>
      <c r="F2" s="4"/>
      <c r="H2" s="5"/>
    </row>
    <row r="3" spans="1:9" s="3" customFormat="1" x14ac:dyDescent="0.45">
      <c r="A3" s="6" t="s">
        <v>20</v>
      </c>
      <c r="B3" s="12">
        <f>COUNTIF(G9:G88,A3)</f>
        <v>0</v>
      </c>
      <c r="C3" s="7">
        <f>(B3/B5)</f>
        <v>0</v>
      </c>
      <c r="D3" s="8" t="s">
        <v>21</v>
      </c>
      <c r="E3" s="4"/>
      <c r="F3" s="4"/>
      <c r="H3" s="5"/>
    </row>
    <row r="4" spans="1:9" s="3" customFormat="1" x14ac:dyDescent="0.45">
      <c r="A4" s="6" t="s">
        <v>22</v>
      </c>
      <c r="B4" s="12">
        <f>COUNTIF(G10:G89,A4)</f>
        <v>0</v>
      </c>
      <c r="C4" s="7">
        <f>(B4/B5)</f>
        <v>0</v>
      </c>
      <c r="D4" s="8" t="s">
        <v>23</v>
      </c>
      <c r="E4" s="4"/>
      <c r="F4" s="4"/>
      <c r="H4" s="5"/>
    </row>
    <row r="5" spans="1:9" s="3" customFormat="1" x14ac:dyDescent="0.45">
      <c r="A5" s="6" t="s">
        <v>24</v>
      </c>
      <c r="B5" s="12">
        <f>SUM(B2:B4)</f>
        <v>12</v>
      </c>
      <c r="C5" s="7">
        <f>SUM(C2:C4)</f>
        <v>1</v>
      </c>
      <c r="D5" s="8" t="s">
        <v>25</v>
      </c>
      <c r="E5" s="4"/>
      <c r="F5" s="4"/>
      <c r="H5" s="5"/>
    </row>
    <row r="6" spans="1:9" s="3" customFormat="1" x14ac:dyDescent="0.45">
      <c r="A6" s="4"/>
      <c r="B6" s="4"/>
      <c r="E6" s="9"/>
      <c r="F6" s="9"/>
      <c r="G6" s="4"/>
      <c r="I6" s="5"/>
    </row>
    <row r="7" spans="1:9" s="3" customFormat="1" x14ac:dyDescent="0.45">
      <c r="A7" s="1" t="s">
        <v>13</v>
      </c>
      <c r="B7" s="1" t="s">
        <v>0</v>
      </c>
      <c r="C7" s="2" t="s">
        <v>1</v>
      </c>
      <c r="D7" s="2" t="s">
        <v>14</v>
      </c>
      <c r="E7" s="10" t="s">
        <v>83</v>
      </c>
      <c r="F7" s="10" t="s">
        <v>2</v>
      </c>
      <c r="G7" s="2" t="s">
        <v>15</v>
      </c>
      <c r="H7" s="10" t="s">
        <v>17</v>
      </c>
    </row>
    <row r="8" spans="1:9" ht="64.05" customHeight="1" x14ac:dyDescent="0.45">
      <c r="A8" s="31" t="s">
        <v>32</v>
      </c>
      <c r="B8" s="31" t="s">
        <v>159</v>
      </c>
      <c r="C8" s="31" t="s">
        <v>172</v>
      </c>
      <c r="D8" s="31" t="s">
        <v>195</v>
      </c>
      <c r="E8" s="31" t="s">
        <v>221</v>
      </c>
      <c r="F8" s="31" t="s">
        <v>208</v>
      </c>
      <c r="G8" s="13" t="s">
        <v>16</v>
      </c>
      <c r="H8" s="11"/>
    </row>
    <row r="9" spans="1:9" ht="64.05" customHeight="1" x14ac:dyDescent="0.45">
      <c r="A9" s="31" t="s">
        <v>36</v>
      </c>
      <c r="B9" s="31" t="s">
        <v>160</v>
      </c>
      <c r="C9" s="31" t="s">
        <v>173</v>
      </c>
      <c r="D9" s="31" t="s">
        <v>196</v>
      </c>
      <c r="E9" s="31" t="s">
        <v>222</v>
      </c>
      <c r="F9" s="31" t="s">
        <v>209</v>
      </c>
      <c r="G9" s="13" t="s">
        <v>16</v>
      </c>
      <c r="H9" s="11"/>
    </row>
    <row r="10" spans="1:9" ht="38" customHeight="1" x14ac:dyDescent="0.45">
      <c r="A10" s="31" t="s">
        <v>37</v>
      </c>
      <c r="B10" s="31" t="s">
        <v>161</v>
      </c>
      <c r="C10" s="31" t="s">
        <v>174</v>
      </c>
      <c r="D10" s="31" t="s">
        <v>197</v>
      </c>
      <c r="E10" s="31" t="s">
        <v>223</v>
      </c>
      <c r="F10" s="31" t="s">
        <v>210</v>
      </c>
      <c r="G10" s="13" t="s">
        <v>16</v>
      </c>
      <c r="H10" s="11"/>
    </row>
    <row r="11" spans="1:9" ht="38" customHeight="1" x14ac:dyDescent="0.45">
      <c r="A11" s="31" t="s">
        <v>38</v>
      </c>
      <c r="B11" s="31" t="s">
        <v>162</v>
      </c>
      <c r="C11" s="31" t="s">
        <v>175</v>
      </c>
      <c r="D11" s="31" t="s">
        <v>198</v>
      </c>
      <c r="E11" s="31" t="s">
        <v>185</v>
      </c>
      <c r="F11" s="31" t="s">
        <v>211</v>
      </c>
      <c r="G11" s="13" t="s">
        <v>16</v>
      </c>
      <c r="H11" s="11"/>
    </row>
    <row r="12" spans="1:9" ht="37.9" customHeight="1" x14ac:dyDescent="0.45">
      <c r="A12" s="31" t="s">
        <v>39</v>
      </c>
      <c r="B12" s="31" t="s">
        <v>163</v>
      </c>
      <c r="C12" s="31" t="s">
        <v>176</v>
      </c>
      <c r="D12" s="31" t="s">
        <v>199</v>
      </c>
      <c r="E12" s="31" t="s">
        <v>186</v>
      </c>
      <c r="F12" s="31" t="s">
        <v>212</v>
      </c>
      <c r="G12" s="13" t="s">
        <v>16</v>
      </c>
      <c r="H12" s="11"/>
    </row>
    <row r="13" spans="1:9" ht="64.05" customHeight="1" x14ac:dyDescent="0.45">
      <c r="A13" s="31" t="s">
        <v>33</v>
      </c>
      <c r="B13" s="31" t="s">
        <v>164</v>
      </c>
      <c r="C13" s="31" t="s">
        <v>177</v>
      </c>
      <c r="D13" s="31" t="s">
        <v>200</v>
      </c>
      <c r="E13" s="31" t="s">
        <v>187</v>
      </c>
      <c r="F13" s="31" t="s">
        <v>213</v>
      </c>
      <c r="G13" s="13" t="s">
        <v>16</v>
      </c>
      <c r="H13" s="11"/>
    </row>
    <row r="14" spans="1:9" ht="64.05" customHeight="1" x14ac:dyDescent="0.45">
      <c r="A14" s="31" t="s">
        <v>243</v>
      </c>
      <c r="B14" s="31" t="s">
        <v>166</v>
      </c>
      <c r="C14" s="31" t="s">
        <v>179</v>
      </c>
      <c r="D14" s="31" t="s">
        <v>202</v>
      </c>
      <c r="E14" s="31" t="s">
        <v>189</v>
      </c>
      <c r="F14" s="31" t="s">
        <v>215</v>
      </c>
      <c r="G14" s="13" t="s">
        <v>16</v>
      </c>
      <c r="H14" s="11"/>
    </row>
    <row r="15" spans="1:9" ht="64.05" customHeight="1" x14ac:dyDescent="0.45">
      <c r="A15" s="31" t="s">
        <v>40</v>
      </c>
      <c r="B15" s="31" t="s">
        <v>167</v>
      </c>
      <c r="C15" s="31" t="s">
        <v>180</v>
      </c>
      <c r="D15" s="31" t="s">
        <v>203</v>
      </c>
      <c r="E15" s="31" t="s">
        <v>190</v>
      </c>
      <c r="F15" s="31" t="s">
        <v>216</v>
      </c>
      <c r="G15" s="13" t="s">
        <v>16</v>
      </c>
      <c r="H15" s="11"/>
    </row>
    <row r="16" spans="1:9" ht="38" customHeight="1" x14ac:dyDescent="0.45">
      <c r="A16" s="31" t="s">
        <v>34</v>
      </c>
      <c r="B16" s="31" t="s">
        <v>168</v>
      </c>
      <c r="C16" s="31" t="s">
        <v>181</v>
      </c>
      <c r="D16" s="31" t="s">
        <v>204</v>
      </c>
      <c r="E16" s="31" t="s">
        <v>191</v>
      </c>
      <c r="F16" s="31" t="s">
        <v>217</v>
      </c>
      <c r="G16" s="13" t="s">
        <v>16</v>
      </c>
      <c r="H16" s="11"/>
    </row>
    <row r="17" spans="1:8" ht="38" customHeight="1" x14ac:dyDescent="0.45">
      <c r="A17" s="31" t="s">
        <v>35</v>
      </c>
      <c r="B17" s="31" t="s">
        <v>169</v>
      </c>
      <c r="C17" s="31" t="s">
        <v>182</v>
      </c>
      <c r="D17" s="31" t="s">
        <v>205</v>
      </c>
      <c r="E17" s="31" t="s">
        <v>192</v>
      </c>
      <c r="F17" s="31" t="s">
        <v>218</v>
      </c>
      <c r="G17" s="13" t="s">
        <v>16</v>
      </c>
      <c r="H17" s="11"/>
    </row>
    <row r="18" spans="1:8" ht="37.9" customHeight="1" x14ac:dyDescent="0.45">
      <c r="A18" s="31" t="s">
        <v>41</v>
      </c>
      <c r="B18" s="31" t="s">
        <v>170</v>
      </c>
      <c r="C18" s="31" t="s">
        <v>183</v>
      </c>
      <c r="D18" s="31" t="s">
        <v>206</v>
      </c>
      <c r="E18" s="31" t="s">
        <v>193</v>
      </c>
      <c r="F18" s="31" t="s">
        <v>219</v>
      </c>
      <c r="G18" s="13" t="s">
        <v>16</v>
      </c>
      <c r="H18" s="11"/>
    </row>
    <row r="19" spans="1:8" ht="64.05" customHeight="1" x14ac:dyDescent="0.45">
      <c r="A19" s="31" t="s">
        <v>42</v>
      </c>
      <c r="B19" s="31" t="s">
        <v>171</v>
      </c>
      <c r="C19" s="31" t="s">
        <v>184</v>
      </c>
      <c r="D19" s="31" t="s">
        <v>207</v>
      </c>
      <c r="E19" s="31" t="s">
        <v>194</v>
      </c>
      <c r="F19" s="31" t="s">
        <v>220</v>
      </c>
      <c r="G19" s="13" t="s">
        <v>16</v>
      </c>
      <c r="H19" s="11"/>
    </row>
  </sheetData>
  <mergeCells count="1">
    <mergeCell ref="A1:D1"/>
  </mergeCells>
  <phoneticPr fontId="8" type="noConversion"/>
  <dataValidations count="1">
    <dataValidation type="list" allowBlank="1" showInputMessage="1" showErrorMessage="1" sqref="G8:G19" xr:uid="{0C96E4BA-B3F9-4E68-B4B0-CF39F797486C}">
      <formula1>$A$2:$A$4</formula1>
    </dataValidation>
  </dataValidations>
  <pageMargins left="0.75" right="0.75" top="1" bottom="1" header="0.5" footer="0.5"/>
  <pageSetup paperSize="8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34948-CA9B-4AE1-BA38-1DFB86A75E6A}">
  <sheetPr>
    <pageSetUpPr fitToPage="1"/>
  </sheetPr>
  <dimension ref="A1:I9"/>
  <sheetViews>
    <sheetView showGridLines="0" zoomScale="55" zoomScaleNormal="55" workbookViewId="0">
      <pane ySplit="7" topLeftCell="A8" activePane="bottomLeft" state="frozen"/>
      <selection pane="bottomLeft" activeCell="E12" sqref="E12"/>
    </sheetView>
  </sheetViews>
  <sheetFormatPr defaultRowHeight="14.25" x14ac:dyDescent="0.45"/>
  <cols>
    <col min="1" max="1" width="16" customWidth="1"/>
    <col min="2" max="2" width="42" customWidth="1"/>
    <col min="3" max="3" width="38" customWidth="1"/>
    <col min="4" max="4" width="58" customWidth="1"/>
    <col min="5" max="6" width="62" customWidth="1"/>
    <col min="7" max="7" width="14" customWidth="1"/>
    <col min="8" max="8" width="62" customWidth="1"/>
  </cols>
  <sheetData>
    <row r="1" spans="1:9" s="3" customFormat="1" ht="15.75" x14ac:dyDescent="0.45">
      <c r="A1" s="32" t="s">
        <v>18</v>
      </c>
      <c r="B1" s="33"/>
      <c r="C1" s="33"/>
      <c r="D1" s="34"/>
      <c r="E1" s="4"/>
      <c r="F1" s="4"/>
      <c r="H1" s="5"/>
    </row>
    <row r="2" spans="1:9" s="3" customFormat="1" x14ac:dyDescent="0.45">
      <c r="A2" s="6" t="s">
        <v>16</v>
      </c>
      <c r="B2" s="12">
        <f>COUNTIF(G8:G77,A2)</f>
        <v>2</v>
      </c>
      <c r="C2" s="7">
        <f>(B2/B5)</f>
        <v>1</v>
      </c>
      <c r="D2" s="8" t="s">
        <v>19</v>
      </c>
      <c r="E2" s="4"/>
      <c r="F2" s="4"/>
      <c r="H2" s="5"/>
    </row>
    <row r="3" spans="1:9" s="3" customFormat="1" x14ac:dyDescent="0.45">
      <c r="A3" s="6" t="s">
        <v>20</v>
      </c>
      <c r="B3" s="12">
        <f>COUNTIF(G10:G78,A3)</f>
        <v>0</v>
      </c>
      <c r="C3" s="7">
        <f>(B3/B5)</f>
        <v>0</v>
      </c>
      <c r="D3" s="8" t="s">
        <v>21</v>
      </c>
      <c r="E3" s="4"/>
      <c r="F3" s="4"/>
      <c r="H3" s="5"/>
    </row>
    <row r="4" spans="1:9" s="3" customFormat="1" x14ac:dyDescent="0.45">
      <c r="A4" s="6" t="s">
        <v>22</v>
      </c>
      <c r="B4" s="12">
        <f>COUNTIF(G10:G79,A4)</f>
        <v>0</v>
      </c>
      <c r="C4" s="7">
        <f>(B4/B5)</f>
        <v>0</v>
      </c>
      <c r="D4" s="8" t="s">
        <v>23</v>
      </c>
      <c r="E4" s="4"/>
      <c r="F4" s="4"/>
      <c r="H4" s="5"/>
    </row>
    <row r="5" spans="1:9" s="3" customFormat="1" x14ac:dyDescent="0.45">
      <c r="A5" s="6" t="s">
        <v>24</v>
      </c>
      <c r="B5" s="12">
        <f>SUM(B2:B4)</f>
        <v>2</v>
      </c>
      <c r="C5" s="7">
        <f>SUM(C2:C4)</f>
        <v>1</v>
      </c>
      <c r="D5" s="8" t="s">
        <v>25</v>
      </c>
      <c r="E5" s="4"/>
      <c r="F5" s="4"/>
      <c r="H5" s="5"/>
    </row>
    <row r="6" spans="1:9" s="3" customFormat="1" x14ac:dyDescent="0.45">
      <c r="A6" s="4"/>
      <c r="B6" s="4"/>
      <c r="E6" s="9"/>
      <c r="F6" s="9"/>
      <c r="G6" s="4"/>
      <c r="I6" s="5"/>
    </row>
    <row r="7" spans="1:9" s="3" customFormat="1" x14ac:dyDescent="0.45">
      <c r="A7" s="1" t="s">
        <v>13</v>
      </c>
      <c r="B7" s="1" t="s">
        <v>0</v>
      </c>
      <c r="C7" s="2" t="s">
        <v>1</v>
      </c>
      <c r="D7" s="2" t="s">
        <v>14</v>
      </c>
      <c r="E7" s="10" t="s">
        <v>83</v>
      </c>
      <c r="F7" s="10" t="s">
        <v>2</v>
      </c>
      <c r="G7" s="2" t="s">
        <v>15</v>
      </c>
      <c r="H7" s="10" t="s">
        <v>17</v>
      </c>
    </row>
    <row r="8" spans="1:9" ht="64.05" customHeight="1" x14ac:dyDescent="0.45">
      <c r="A8" s="31" t="s">
        <v>237</v>
      </c>
      <c r="B8" s="31" t="s">
        <v>238</v>
      </c>
      <c r="C8" s="31" t="s">
        <v>239</v>
      </c>
      <c r="D8" s="31" t="s">
        <v>241</v>
      </c>
      <c r="E8" s="31" t="s">
        <v>240</v>
      </c>
      <c r="F8" s="31" t="s">
        <v>242</v>
      </c>
      <c r="G8" s="13" t="s">
        <v>16</v>
      </c>
      <c r="H8" s="11"/>
    </row>
    <row r="9" spans="1:9" ht="64.05" customHeight="1" x14ac:dyDescent="0.45">
      <c r="A9" s="31" t="s">
        <v>158</v>
      </c>
      <c r="B9" s="31" t="s">
        <v>165</v>
      </c>
      <c r="C9" s="31" t="s">
        <v>178</v>
      </c>
      <c r="D9" s="31" t="s">
        <v>201</v>
      </c>
      <c r="E9" s="31" t="s">
        <v>188</v>
      </c>
      <c r="F9" s="31" t="s">
        <v>214</v>
      </c>
      <c r="G9" s="13" t="s">
        <v>16</v>
      </c>
      <c r="H9" s="11"/>
    </row>
  </sheetData>
  <mergeCells count="1">
    <mergeCell ref="A1:D1"/>
  </mergeCells>
  <dataValidations count="1">
    <dataValidation type="list" allowBlank="1" showInputMessage="1" showErrorMessage="1" sqref="G8:G9" xr:uid="{6E829B10-9D13-4B1E-A573-BDE98A77F953}">
      <formula1>$A$2:$A$4</formula1>
    </dataValidation>
  </dataValidations>
  <pageMargins left="0.75" right="0.75" top="1" bottom="1" header="0.5" footer="0.5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Information</vt:lpstr>
      <vt:lpstr>Flow 0 - Mobile</vt:lpstr>
      <vt:lpstr>Flow 0 - Web</vt:lpstr>
      <vt:lpstr>Flow 1 - Mobile</vt:lpstr>
      <vt:lpstr>Flow 1 - Web</vt:lpstr>
      <vt:lpstr>Flow 2 - Hazard</vt:lpstr>
      <vt:lpstr>Offline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Alwi Nashrulloh</cp:lastModifiedBy>
  <dcterms:created xsi:type="dcterms:W3CDTF">2026-10-20T17:39:46Z</dcterms:created>
  <dcterms:modified xsi:type="dcterms:W3CDTF">2026-10-21T03:13:45Z</dcterms:modified>
</cp:coreProperties>
</file>